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usuario\OneDrive\Documentos\Programación\Excel\CursoBasico\Tareas\"/>
    </mc:Choice>
  </mc:AlternateContent>
  <bookViews>
    <workbookView xWindow="0" yWindow="0" windowWidth="15360" windowHeight="7755"/>
  </bookViews>
  <sheets>
    <sheet name="Presentación" sheetId="3" r:id="rId1"/>
    <sheet name="Ejercicio" sheetId="2" r:id="rId2"/>
    <sheet name="Datos" sheetId="1" r:id="rId3"/>
    <sheet name="Solución" sheetId="4" state="hidden" r:id="rId4"/>
  </sheets>
  <definedNames>
    <definedName name="_xlnm._FilterDatabase" localSheetId="2" hidden="1">Datos!$B$4:$I$28</definedName>
  </definedNames>
  <calcPr calcId="152511"/>
  <pivotCaches>
    <pivotCache cacheId="5" r:id="rId5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2" i="4" l="1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23" i="4"/>
  <c r="F24" i="4"/>
  <c r="F25" i="4"/>
  <c r="F26" i="4"/>
  <c r="F27" i="4"/>
  <c r="F28" i="4"/>
  <c r="F29" i="4"/>
  <c r="F30" i="4"/>
  <c r="F31" i="4"/>
  <c r="F22" i="4"/>
  <c r="H28" i="4" l="1"/>
  <c r="H29" i="4"/>
  <c r="H30" i="4"/>
  <c r="H31" i="4"/>
  <c r="G28" i="4"/>
  <c r="G29" i="4"/>
  <c r="G30" i="4"/>
  <c r="G31" i="4"/>
  <c r="H23" i="4"/>
  <c r="H24" i="4"/>
  <c r="H25" i="4"/>
  <c r="H26" i="4"/>
  <c r="H27" i="4"/>
  <c r="G23" i="4"/>
  <c r="G24" i="4"/>
  <c r="G25" i="4"/>
  <c r="G26" i="4"/>
  <c r="G27" i="4"/>
  <c r="H22" i="4"/>
  <c r="G22" i="4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5" i="1"/>
</calcChain>
</file>

<file path=xl/sharedStrings.xml><?xml version="1.0" encoding="utf-8"?>
<sst xmlns="http://schemas.openxmlformats.org/spreadsheetml/2006/main" count="108" uniqueCount="54">
  <si>
    <t>ID</t>
  </si>
  <si>
    <t>Nombre</t>
  </si>
  <si>
    <t>Apellido</t>
  </si>
  <si>
    <t>Puesto</t>
  </si>
  <si>
    <t>Salario base</t>
  </si>
  <si>
    <t>Días trabajados</t>
  </si>
  <si>
    <t>Luis</t>
  </si>
  <si>
    <t>Ana</t>
  </si>
  <si>
    <t>Pedro</t>
  </si>
  <si>
    <t>Jorge</t>
  </si>
  <si>
    <t>Kendral</t>
  </si>
  <si>
    <t>José</t>
  </si>
  <si>
    <t>Alex</t>
  </si>
  <si>
    <t>Danna</t>
  </si>
  <si>
    <t>Alexa</t>
  </si>
  <si>
    <t>Andrea</t>
  </si>
  <si>
    <t>Lola</t>
  </si>
  <si>
    <t>Apaez</t>
  </si>
  <si>
    <t>Alvarez</t>
  </si>
  <si>
    <t>Sanchez</t>
  </si>
  <si>
    <t>Ramirez</t>
  </si>
  <si>
    <t>Lopez</t>
  </si>
  <si>
    <t>Perez</t>
  </si>
  <si>
    <t>Smith</t>
  </si>
  <si>
    <t>Santander</t>
  </si>
  <si>
    <t>Plata</t>
  </si>
  <si>
    <t>Secretaria</t>
  </si>
  <si>
    <t>Ingeniero</t>
  </si>
  <si>
    <t>Auxiliar</t>
  </si>
  <si>
    <t>Docente</t>
  </si>
  <si>
    <t>Tabla con la información</t>
  </si>
  <si>
    <t>Donovan</t>
  </si>
  <si>
    <t>Judith</t>
  </si>
  <si>
    <t>Peña</t>
  </si>
  <si>
    <t>Javier</t>
  </si>
  <si>
    <t>Fernando</t>
  </si>
  <si>
    <t>Adam</t>
  </si>
  <si>
    <t>Max</t>
  </si>
  <si>
    <t>Dolores</t>
  </si>
  <si>
    <t>Juan</t>
  </si>
  <si>
    <t>Jesús</t>
  </si>
  <si>
    <t>María</t>
  </si>
  <si>
    <t>Total Suedo</t>
  </si>
  <si>
    <t>Fecha ingreso</t>
  </si>
  <si>
    <t>Total general</t>
  </si>
  <si>
    <t>Total Días trabajados</t>
  </si>
  <si>
    <t>Respuesta 1</t>
  </si>
  <si>
    <t>Respuesta 2</t>
  </si>
  <si>
    <t>Total sueldo gastado</t>
  </si>
  <si>
    <t>Respuesta 3</t>
  </si>
  <si>
    <t>Filtro</t>
  </si>
  <si>
    <t>Días trabajado</t>
  </si>
  <si>
    <t>Total Sueldo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</si>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</sst>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* #,##0_-;\-&quot;$&quot;* #,##0_-;_-&quot;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Arial"/>
      <family val="2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164" fontId="0" fillId="0" borderId="2" xfId="1" applyNumberFormat="1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164" fontId="0" fillId="3" borderId="2" xfId="1" applyNumberFormat="1" applyFont="1" applyFill="1" applyBorder="1" applyAlignment="1">
      <alignment horizontal="center"/>
    </xf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3" borderId="3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3" borderId="4" xfId="0" applyFill="1" applyBorder="1"/>
    <xf numFmtId="0" fontId="4" fillId="0" borderId="0" xfId="0" applyFont="1"/>
    <xf numFmtId="0" fontId="0" fillId="3" borderId="2" xfId="1" applyNumberFormat="1" applyFont="1" applyFill="1" applyBorder="1" applyAlignment="1">
      <alignment horizontal="center"/>
    </xf>
    <xf numFmtId="0" fontId="0" fillId="0" borderId="2" xfId="1" applyNumberFormat="1" applyFont="1" applyBorder="1" applyAlignment="1">
      <alignment horizontal="center"/>
    </xf>
    <xf numFmtId="164" fontId="0" fillId="0" borderId="0" xfId="0" applyNumberFormat="1"/>
    <xf numFmtId="14" fontId="0" fillId="0" borderId="2" xfId="2" applyNumberFormat="1" applyFont="1" applyBorder="1"/>
    <xf numFmtId="14" fontId="0" fillId="11" borderId="2" xfId="2" applyNumberFormat="1" applyFont="1" applyFill="1" applyBorder="1"/>
    <xf numFmtId="14" fontId="0" fillId="0" borderId="2" xfId="2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5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12" borderId="0" xfId="0" applyFont="1" applyFill="1" applyAlignment="1">
      <alignment horizontal="center"/>
    </xf>
    <xf numFmtId="0" fontId="0" fillId="0" borderId="0" xfId="0" pivotButton="1" applyProtection="1">
      <protection locked="0"/>
    </xf>
  </cellXfs>
  <cellStyles count="3">
    <cellStyle name="Millares" xfId="2" builtinId="3"/>
    <cellStyle name="Moneda" xfId="1" builtinId="4"/>
    <cellStyle name="Normal" xfId="0" builtinId="0"/>
  </cellStyles>
  <dxfs count="4">
    <dxf>
      <numFmt numFmtId="0" formatCode="General"/>
    </dxf>
    <dxf>
      <protection locked="0"/>
    </dxf>
    <dxf>
      <numFmt numFmtId="164" formatCode="_-&quot;$&quot;* #,##0_-;\-&quot;$&quot;* #,##0_-;_-&quot;$&quot;* &quot;-&quot;??_-;_-@_-"/>
    </dxf>
    <dxf>
      <numFmt numFmtId="164" formatCode="_-&quot;$&quot;* #,##0_-;\-&quot;$&quot;* #,##0_-;_-&quot;$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[Tarea_tablas_dinamicas.xlsm]Solución!Tabla 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Días trabajados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Solución!$C$2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Solución!$B$3:$B$7</c:f>
              <c:strCache>
                <c:ptCount val="4"/>
                <c:pt idx="0">
                  <c:v>Auxiliar</c:v>
                </c:pt>
                <c:pt idx="1">
                  <c:v>Docente</c:v>
                </c:pt>
                <c:pt idx="2">
                  <c:v>Ingeniero</c:v>
                </c:pt>
                <c:pt idx="3">
                  <c:v>Secretaria</c:v>
                </c:pt>
              </c:strCache>
            </c:strRef>
          </c:cat>
          <c:val>
            <c:numRef>
              <c:f>Solución!$C$3:$C$7</c:f>
              <c:numCache>
                <c:formatCode>General</c:formatCode>
                <c:ptCount val="4"/>
                <c:pt idx="0">
                  <c:v>152</c:v>
                </c:pt>
                <c:pt idx="1">
                  <c:v>174</c:v>
                </c:pt>
                <c:pt idx="2">
                  <c:v>224</c:v>
                </c:pt>
                <c:pt idx="3">
                  <c:v>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23845712"/>
        <c:axId val="1423846256"/>
      </c:barChart>
      <c:catAx>
        <c:axId val="1423845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23846256"/>
        <c:crosses val="autoZero"/>
        <c:auto val="1"/>
        <c:lblAlgn val="ctr"/>
        <c:lblOffset val="100"/>
        <c:noMultiLvlLbl val="0"/>
      </c:catAx>
      <c:valAx>
        <c:axId val="142384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2384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[Tarea_tablas_dinamicas.xlsm]Solución!Tabla 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sueldo gastado</a:t>
            </a:r>
          </a:p>
        </c:rich>
      </c:tx>
      <c:layout>
        <c:manualLayout>
          <c:xMode val="edge"/>
          <c:yMode val="edge"/>
          <c:x val="0.2243474720289727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8.1159457336280882E-2"/>
          <c:y val="0.19825759752215902"/>
          <c:w val="0.44508430678274874"/>
          <c:h val="0.73912855619221463"/>
        </c:manualLayout>
      </c:layout>
      <c:doughnutChart>
        <c:varyColors val="1"/>
        <c:ser>
          <c:idx val="0"/>
          <c:order val="0"/>
          <c:tx>
            <c:strRef>
              <c:f>Solución!$C$10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dPt>
          <c:cat>
            <c:strRef>
              <c:f>Solución!$B$11:$B$15</c:f>
              <c:strCache>
                <c:ptCount val="4"/>
                <c:pt idx="0">
                  <c:v>Auxiliar</c:v>
                </c:pt>
                <c:pt idx="1">
                  <c:v>Docente</c:v>
                </c:pt>
                <c:pt idx="2">
                  <c:v>Ingeniero</c:v>
                </c:pt>
                <c:pt idx="3">
                  <c:v>Secretaria</c:v>
                </c:pt>
              </c:strCache>
            </c:strRef>
          </c:cat>
          <c:val>
            <c:numRef>
              <c:f>Solución!$C$11:$C$15</c:f>
              <c:numCache>
                <c:formatCode>_-"$"* #,##0_-;\-"$"* #,##0_-;_-"$"* "-"??_-;_-@_-</c:formatCode>
                <c:ptCount val="4"/>
                <c:pt idx="0">
                  <c:v>688500</c:v>
                </c:pt>
                <c:pt idx="1">
                  <c:v>976000</c:v>
                </c:pt>
                <c:pt idx="2">
                  <c:v>953500</c:v>
                </c:pt>
                <c:pt idx="3">
                  <c:v>187500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454073926314702"/>
          <c:y val="0.23328302556145217"/>
          <c:w val="0.22549876354356402"/>
          <c:h val="0.649823796460465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1</xdr:row>
      <xdr:rowOff>57150</xdr:rowOff>
    </xdr:from>
    <xdr:to>
      <xdr:col>2</xdr:col>
      <xdr:colOff>295275</xdr:colOff>
      <xdr:row>5</xdr:row>
      <xdr:rowOff>114300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247650"/>
          <a:ext cx="819150" cy="819150"/>
        </a:xfrm>
        <a:prstGeom prst="rect">
          <a:avLst/>
        </a:prstGeom>
      </xdr:spPr>
    </xdr:pic>
    <xdr:clientData/>
  </xdr:twoCellAnchor>
  <xdr:twoCellAnchor>
    <xdr:from>
      <xdr:col>2</xdr:col>
      <xdr:colOff>476249</xdr:colOff>
      <xdr:row>1</xdr:row>
      <xdr:rowOff>180976</xdr:rowOff>
    </xdr:from>
    <xdr:to>
      <xdr:col>9</xdr:col>
      <xdr:colOff>542924</xdr:colOff>
      <xdr:row>9</xdr:row>
      <xdr:rowOff>57150</xdr:rowOff>
    </xdr:to>
    <xdr:sp macro="" textlink="">
      <xdr:nvSpPr>
        <xdr:cNvPr id="3" name="CuadroTexto 2"/>
        <xdr:cNvSpPr txBox="1"/>
      </xdr:nvSpPr>
      <xdr:spPr>
        <a:xfrm>
          <a:off x="2000249" y="371476"/>
          <a:ext cx="5400675" cy="1400174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Cursos PyM</a:t>
          </a:r>
        </a:p>
        <a:p>
          <a:pPr algn="ctr"/>
          <a:r>
            <a:rPr lang="es-MX" sz="1100" b="1" i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Curso de Excel:</a:t>
          </a:r>
          <a:r>
            <a:rPr lang="es-MX" sz="1100" b="1" i="1" u="none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 </a:t>
          </a:r>
          <a:r>
            <a:rPr lang="es-MX" sz="1100" b="1" i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básico a intermedio</a:t>
          </a:r>
        </a:p>
        <a:p>
          <a:pPr algn="ctr"/>
          <a:endParaRPr lang="es-MX" sz="1100" b="1" i="1" u="none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  <a:p>
          <a:pPr algn="ctr"/>
          <a:r>
            <a:rPr lang="es-MX" sz="1050" b="1" i="0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rPr>
            <a:t>Autor: Luis Fernando Apáez</a:t>
          </a:r>
        </a:p>
        <a:p>
          <a:pPr algn="ctr"/>
          <a:r>
            <a:rPr lang="es-MX" sz="1050" b="1" i="0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rPr>
            <a:t>Marzo 2023</a:t>
          </a:r>
        </a:p>
      </xdr:txBody>
    </xdr:sp>
    <xdr:clientData/>
  </xdr:twoCellAnchor>
  <xdr:twoCellAnchor>
    <xdr:from>
      <xdr:col>0</xdr:col>
      <xdr:colOff>38099</xdr:colOff>
      <xdr:row>11</xdr:row>
      <xdr:rowOff>171449</xdr:rowOff>
    </xdr:from>
    <xdr:to>
      <xdr:col>9</xdr:col>
      <xdr:colOff>600074</xdr:colOff>
      <xdr:row>33</xdr:row>
      <xdr:rowOff>47624</xdr:rowOff>
    </xdr:to>
    <xdr:sp macro="" textlink="">
      <xdr:nvSpPr>
        <xdr:cNvPr id="4" name="CuadroTexto 3"/>
        <xdr:cNvSpPr txBox="1"/>
      </xdr:nvSpPr>
      <xdr:spPr>
        <a:xfrm>
          <a:off x="38099" y="2266949"/>
          <a:ext cx="7419975" cy="406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 b="1"/>
            <a:t>Instrucciones: </a:t>
          </a:r>
          <a:r>
            <a:rPr lang="es-MX" sz="1200" b="0"/>
            <a:t>De</a:t>
          </a:r>
          <a:r>
            <a:rPr lang="es-MX" sz="1200" b="0" baseline="0"/>
            <a:t> acuerdo a los ejercicios que mencionamos líneas abajo, escribe la correspondiente solución en la hoja </a:t>
          </a:r>
          <a:r>
            <a:rPr lang="es-MX" sz="1200" b="1" baseline="0"/>
            <a:t>Ejercicio</a:t>
          </a:r>
          <a:r>
            <a:rPr lang="es-MX" sz="1200" b="0" baseline="0"/>
            <a:t>.</a:t>
          </a:r>
        </a:p>
        <a:p>
          <a:r>
            <a:rPr lang="es-MX" sz="1200" b="0" baseline="0"/>
            <a:t>Ejercicios:</a:t>
          </a:r>
        </a:p>
        <a:p>
          <a:r>
            <a:rPr lang="es-MX" sz="1200" b="0" baseline="0"/>
            <a:t>En la hoja </a:t>
          </a:r>
          <a:r>
            <a:rPr lang="es-MX" sz="1200" b="1" baseline="0"/>
            <a:t>Datos </a:t>
          </a:r>
          <a:r>
            <a:rPr lang="es-MX" sz="1200" b="0" baseline="0"/>
            <a:t>encontrarás el conjunto de datos para trabajar con los siguientes ejercicios. Trabajarás con tablas dinámicas y, con base en ellas, deberás responder las siguientes preguntas:</a:t>
          </a:r>
        </a:p>
        <a:p>
          <a:r>
            <a:rPr lang="es-MX" sz="1200" b="0" i="0" u="none" baseline="0"/>
            <a:t>1. ¿Cuál fue el puesto de trabajo que tuvo más días de trabajo y menos días de trabajo? Además de crear la tabla dinámica, crea un gráfico (dinámico) de barras.</a:t>
          </a:r>
        </a:p>
        <a:p>
          <a:r>
            <a:rPr lang="es-MX" sz="1200" b="0" i="0" u="none" baseline="0"/>
            <a:t>2. ¿En qué puesto de trabajo gasta más la compañía? 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Además de crear la tabla dinámica, crea un gráfico (dinámico)  de pastel.</a:t>
          </a:r>
        </a:p>
        <a:p>
          <a:r>
            <a:rPr lang="es-MX" sz="1100" b="0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Crea una tabla dinámica con la columna </a:t>
          </a:r>
          <a:r>
            <a:rPr lang="es-MX" sz="1100" b="0" i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ID, Días trabajados </a:t>
          </a:r>
          <a:r>
            <a:rPr lang="es-MX" sz="1100" b="0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 </a:t>
          </a:r>
          <a:r>
            <a:rPr lang="es-MX" sz="1100" b="0" i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sueldo</a:t>
          </a:r>
          <a:r>
            <a:rPr lang="es-MX" sz="1100" b="0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Define un filtro sobre esa tabla dinámica, donde dicho filtro será referente al puesto. A la misma altura de la tabla dinámica, crea una tabla donde, dado un </a:t>
          </a:r>
          <a:r>
            <a:rPr lang="es-MX" sz="1100" b="0" i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 </a:t>
          </a:r>
          <a:r>
            <a:rPr lang="es-MX" sz="1100" b="0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 muestre el nombre, apellido y puesto de la persona en cuestión, para lo cual utilizarás la función BuscarV (ten cuidado, hay personas que tienen un mismo nombre).</a:t>
          </a:r>
        </a:p>
        <a:p>
          <a:r>
            <a:rPr lang="es-MX" sz="1100" b="0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Con base en lo hecho en el punto anterior.</a:t>
          </a:r>
        </a:p>
        <a:p>
          <a:r>
            <a:rPr lang="es-MX" sz="1100" b="0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a) ¿Cuál es la persona que más gana por puesto?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b) ¿Cuál es la persona que menos trabaja por puesto?</a:t>
          </a:r>
          <a:endParaRPr lang="es-MX">
            <a:effectLst/>
          </a:endParaRPr>
        </a:p>
        <a:p>
          <a:endParaRPr lang="es-MX" sz="1100" b="1" i="0" u="none"/>
        </a:p>
      </xdr:txBody>
    </xdr:sp>
    <xdr:clientData/>
  </xdr:twoCellAnchor>
  <xdr:twoCellAnchor editAs="oneCell">
    <xdr:from>
      <xdr:col>10</xdr:col>
      <xdr:colOff>123825</xdr:colOff>
      <xdr:row>1</xdr:row>
      <xdr:rowOff>9525</xdr:rowOff>
    </xdr:from>
    <xdr:to>
      <xdr:col>11</xdr:col>
      <xdr:colOff>190498</xdr:colOff>
      <xdr:row>5</xdr:row>
      <xdr:rowOff>76198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5" y="200025"/>
          <a:ext cx="828673" cy="828673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12</xdr:row>
      <xdr:rowOff>95250</xdr:rowOff>
    </xdr:from>
    <xdr:to>
      <xdr:col>10</xdr:col>
      <xdr:colOff>381000</xdr:colOff>
      <xdr:row>14</xdr:row>
      <xdr:rowOff>152400</xdr:rowOff>
    </xdr:to>
    <xdr:sp macro="" textlink="">
      <xdr:nvSpPr>
        <xdr:cNvPr id="6" name="Flecha abajo 5"/>
        <xdr:cNvSpPr/>
      </xdr:nvSpPr>
      <xdr:spPr>
        <a:xfrm>
          <a:off x="7734300" y="238125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15</xdr:row>
      <xdr:rowOff>85725</xdr:rowOff>
    </xdr:from>
    <xdr:to>
      <xdr:col>10</xdr:col>
      <xdr:colOff>390525</xdr:colOff>
      <xdr:row>17</xdr:row>
      <xdr:rowOff>142875</xdr:rowOff>
    </xdr:to>
    <xdr:sp macro="" textlink="">
      <xdr:nvSpPr>
        <xdr:cNvPr id="7" name="Flecha abajo 6"/>
        <xdr:cNvSpPr/>
      </xdr:nvSpPr>
      <xdr:spPr>
        <a:xfrm>
          <a:off x="7743825" y="294322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18</xdr:row>
      <xdr:rowOff>66675</xdr:rowOff>
    </xdr:from>
    <xdr:to>
      <xdr:col>10</xdr:col>
      <xdr:colOff>390525</xdr:colOff>
      <xdr:row>20</xdr:row>
      <xdr:rowOff>123825</xdr:rowOff>
    </xdr:to>
    <xdr:sp macro="" textlink="">
      <xdr:nvSpPr>
        <xdr:cNvPr id="8" name="Flecha abajo 7"/>
        <xdr:cNvSpPr/>
      </xdr:nvSpPr>
      <xdr:spPr>
        <a:xfrm>
          <a:off x="7743825" y="349567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21</xdr:row>
      <xdr:rowOff>38100</xdr:rowOff>
    </xdr:from>
    <xdr:to>
      <xdr:col>10</xdr:col>
      <xdr:colOff>390525</xdr:colOff>
      <xdr:row>23</xdr:row>
      <xdr:rowOff>95250</xdr:rowOff>
    </xdr:to>
    <xdr:sp macro="" textlink="">
      <xdr:nvSpPr>
        <xdr:cNvPr id="9" name="Flecha abajo 8"/>
        <xdr:cNvSpPr/>
      </xdr:nvSpPr>
      <xdr:spPr>
        <a:xfrm>
          <a:off x="7743825" y="403860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24</xdr:row>
      <xdr:rowOff>0</xdr:rowOff>
    </xdr:from>
    <xdr:to>
      <xdr:col>10</xdr:col>
      <xdr:colOff>390525</xdr:colOff>
      <xdr:row>26</xdr:row>
      <xdr:rowOff>57150</xdr:rowOff>
    </xdr:to>
    <xdr:sp macro="" textlink="">
      <xdr:nvSpPr>
        <xdr:cNvPr id="10" name="Flecha abajo 9"/>
        <xdr:cNvSpPr/>
      </xdr:nvSpPr>
      <xdr:spPr>
        <a:xfrm>
          <a:off x="7743825" y="457200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133350</xdr:colOff>
      <xdr:row>26</xdr:row>
      <xdr:rowOff>142875</xdr:rowOff>
    </xdr:from>
    <xdr:to>
      <xdr:col>10</xdr:col>
      <xdr:colOff>400050</xdr:colOff>
      <xdr:row>29</xdr:row>
      <xdr:rowOff>9525</xdr:rowOff>
    </xdr:to>
    <xdr:sp macro="" textlink="">
      <xdr:nvSpPr>
        <xdr:cNvPr id="11" name="Flecha abajo 10"/>
        <xdr:cNvSpPr/>
      </xdr:nvSpPr>
      <xdr:spPr>
        <a:xfrm>
          <a:off x="7753350" y="509587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1</xdr:row>
      <xdr:rowOff>9525</xdr:rowOff>
    </xdr:from>
    <xdr:to>
      <xdr:col>12</xdr:col>
      <xdr:colOff>409575</xdr:colOff>
      <xdr:row>9</xdr:row>
      <xdr:rowOff>133351</xdr:rowOff>
    </xdr:to>
    <xdr:sp macro="" textlink="">
      <xdr:nvSpPr>
        <xdr:cNvPr id="2" name="CuadroTexto 1"/>
        <xdr:cNvSpPr txBox="1"/>
      </xdr:nvSpPr>
      <xdr:spPr>
        <a:xfrm>
          <a:off x="6467475" y="200025"/>
          <a:ext cx="2428875" cy="164782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Una vez que termines tus tablas</a:t>
          </a:r>
          <a:r>
            <a:rPr lang="es-MX" sz="1100" baseline="0"/>
            <a:t> puedes comparar tus respuestas con la solución de las pregunta:.</a:t>
          </a:r>
          <a:endParaRPr lang="es-MX" sz="1100" i="1"/>
        </a:p>
      </xdr:txBody>
    </xdr:sp>
    <xdr:clientData/>
  </xdr:twoCellAnchor>
  <xdr:twoCellAnchor editAs="oneCell">
    <xdr:from>
      <xdr:col>10</xdr:col>
      <xdr:colOff>142875</xdr:colOff>
      <xdr:row>4</xdr:row>
      <xdr:rowOff>76201</xdr:rowOff>
    </xdr:from>
    <xdr:to>
      <xdr:col>11</xdr:col>
      <xdr:colOff>343431</xdr:colOff>
      <xdr:row>9</xdr:row>
      <xdr:rowOff>86257</xdr:rowOff>
    </xdr:to>
    <xdr:pic macro="[0]!Mostrar_s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838201"/>
          <a:ext cx="962556" cy="9625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14287</xdr:rowOff>
    </xdr:from>
    <xdr:to>
      <xdr:col>6</xdr:col>
      <xdr:colOff>628650</xdr:colOff>
      <xdr:row>7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38101</xdr:colOff>
      <xdr:row>8</xdr:row>
      <xdr:rowOff>4762</xdr:rowOff>
    </xdr:from>
    <xdr:to>
      <xdr:col>6</xdr:col>
      <xdr:colOff>619125</xdr:colOff>
      <xdr:row>15</xdr:row>
      <xdr:rowOff>19050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ario" refreshedDate="45006.811115046294" createdVersion="5" refreshedVersion="5" minRefreshableVersion="3" recordCount="24">
  <cacheSource type="worksheet">
    <worksheetSource ref="B4:I28" sheet="Datos"/>
  </cacheSource>
  <cacheFields count="8">
    <cacheField name="ID" numFmtId="0">
      <sharedItems containsSemiMixedTypes="0" containsString="0" containsNumber="1" containsInteger="1" minValue="1" maxValue="24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</sharedItems>
    </cacheField>
    <cacheField name="Nombre" numFmtId="0">
      <sharedItems/>
    </cacheField>
    <cacheField name="Apellido" numFmtId="0">
      <sharedItems/>
    </cacheField>
    <cacheField name="Puesto" numFmtId="0">
      <sharedItems count="4">
        <s v="Ingeniero"/>
        <s v="Secretaria"/>
        <s v="Auxiliar"/>
        <s v="Docente"/>
      </sharedItems>
    </cacheField>
    <cacheField name="Salario base" numFmtId="164">
      <sharedItems containsSemiMixedTypes="0" containsString="0" containsNumber="1" containsInteger="1" minValue="2000" maxValue="7500"/>
    </cacheField>
    <cacheField name="Días trabajados" numFmtId="0">
      <sharedItems containsSemiMixedTypes="0" containsString="0" containsNumber="1" containsInteger="1" minValue="2" maxValue="48"/>
    </cacheField>
    <cacheField name="Total Suedo" numFmtId="164">
      <sharedItems containsSemiMixedTypes="0" containsString="0" containsNumber="1" containsInteger="1" minValue="13500" maxValue="337500"/>
    </cacheField>
    <cacheField name="Fecha ingreso" numFmtId="14">
      <sharedItems containsSemiMixedTypes="0" containsNonDate="0" containsDate="1" containsString="0" minDate="2023-01-01T00:00:00" maxDate="2023-01-1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s v="Luis"/>
    <s v="Apaez"/>
    <x v="0"/>
    <n v="2000"/>
    <n v="34"/>
    <n v="68000"/>
    <d v="2023-01-01T00:00:00"/>
  </r>
  <r>
    <x v="1"/>
    <s v="Ana"/>
    <s v="Alvarez"/>
    <x v="1"/>
    <n v="2500"/>
    <n v="48"/>
    <n v="120000"/>
    <d v="2023-01-02T00:00:00"/>
  </r>
  <r>
    <x v="2"/>
    <s v="Pedro"/>
    <s v="Sanchez"/>
    <x v="0"/>
    <n v="3000"/>
    <n v="25"/>
    <n v="75000"/>
    <d v="2023-01-03T00:00:00"/>
  </r>
  <r>
    <x v="3"/>
    <s v="Jorge"/>
    <s v="Ramirez"/>
    <x v="2"/>
    <n v="3500"/>
    <n v="27"/>
    <n v="94500"/>
    <d v="2023-01-04T00:00:00"/>
  </r>
  <r>
    <x v="4"/>
    <s v="Luis"/>
    <s v="Lopez"/>
    <x v="2"/>
    <n v="4000"/>
    <n v="24"/>
    <n v="96000"/>
    <d v="2023-01-02T00:00:00"/>
  </r>
  <r>
    <x v="5"/>
    <s v="Kendral"/>
    <s v="Perez"/>
    <x v="0"/>
    <n v="4500"/>
    <n v="3"/>
    <n v="13500"/>
    <d v="2023-01-06T00:00:00"/>
  </r>
  <r>
    <x v="6"/>
    <s v="José"/>
    <s v="Perez"/>
    <x v="3"/>
    <n v="5000"/>
    <n v="41"/>
    <n v="205000"/>
    <d v="2023-01-07T00:00:00"/>
  </r>
  <r>
    <x v="7"/>
    <s v="Alex"/>
    <s v="Smith"/>
    <x v="0"/>
    <n v="5500"/>
    <n v="36"/>
    <n v="198000"/>
    <d v="2023-01-08T00:00:00"/>
  </r>
  <r>
    <x v="8"/>
    <s v="Danna"/>
    <s v="Santander"/>
    <x v="3"/>
    <n v="6000"/>
    <n v="30"/>
    <n v="180000"/>
    <d v="2023-01-02T00:00:00"/>
  </r>
  <r>
    <x v="9"/>
    <s v="Alexa"/>
    <s v="Plata"/>
    <x v="2"/>
    <n v="6500"/>
    <n v="13"/>
    <n v="84500"/>
    <d v="2023-01-07T00:00:00"/>
  </r>
  <r>
    <x v="10"/>
    <s v="Andrea"/>
    <s v="Plata"/>
    <x v="3"/>
    <n v="7000"/>
    <n v="10"/>
    <n v="70000"/>
    <d v="2023-01-07T00:00:00"/>
  </r>
  <r>
    <x v="11"/>
    <s v="Lola"/>
    <s v="Smith"/>
    <x v="0"/>
    <n v="7500"/>
    <n v="45"/>
    <n v="337500"/>
    <d v="2023-01-07T00:00:00"/>
  </r>
  <r>
    <x v="12"/>
    <s v="Donovan"/>
    <s v="Apaez"/>
    <x v="0"/>
    <n v="2000"/>
    <n v="46"/>
    <n v="92000"/>
    <d v="2023-01-03T00:00:00"/>
  </r>
  <r>
    <x v="13"/>
    <s v="Judith"/>
    <s v="Peña"/>
    <x v="1"/>
    <n v="2500"/>
    <n v="27"/>
    <n v="67500"/>
    <d v="2023-01-03T00:00:00"/>
  </r>
  <r>
    <x v="14"/>
    <s v="Javier"/>
    <s v="Sanchez"/>
    <x v="0"/>
    <n v="3000"/>
    <n v="6"/>
    <n v="18000"/>
    <d v="2023-01-15T00:00:00"/>
  </r>
  <r>
    <x v="15"/>
    <s v="Fernando"/>
    <s v="Ramirez"/>
    <x v="2"/>
    <n v="3500"/>
    <n v="37"/>
    <n v="129500"/>
    <d v="2023-01-03T00:00:00"/>
  </r>
  <r>
    <x v="16"/>
    <s v="Adam"/>
    <s v="Lopez"/>
    <x v="2"/>
    <n v="4000"/>
    <n v="19"/>
    <n v="76000"/>
    <d v="2023-01-04T00:00:00"/>
  </r>
  <r>
    <x v="17"/>
    <s v="Max"/>
    <s v="Perez"/>
    <x v="0"/>
    <n v="4500"/>
    <n v="12"/>
    <n v="54000"/>
    <d v="2023-01-05T00:00:00"/>
  </r>
  <r>
    <x v="18"/>
    <s v="Dolores"/>
    <s v="Perez"/>
    <x v="3"/>
    <n v="5000"/>
    <n v="48"/>
    <n v="240000"/>
    <d v="2023-01-06T00:00:00"/>
  </r>
  <r>
    <x v="19"/>
    <s v="Juan"/>
    <s v="Smith"/>
    <x v="0"/>
    <n v="5500"/>
    <n v="15"/>
    <n v="82500"/>
    <d v="2023-01-07T00:00:00"/>
  </r>
  <r>
    <x v="20"/>
    <s v="Jesús"/>
    <s v="Santander"/>
    <x v="3"/>
    <n v="6000"/>
    <n v="34"/>
    <n v="204000"/>
    <d v="2023-01-08T00:00:00"/>
  </r>
  <r>
    <x v="21"/>
    <s v="Pedro"/>
    <s v="Plata"/>
    <x v="2"/>
    <n v="6500"/>
    <n v="32"/>
    <n v="208000"/>
    <d v="2023-01-09T00:00:00"/>
  </r>
  <r>
    <x v="22"/>
    <s v="María"/>
    <s v="Plata"/>
    <x v="3"/>
    <n v="7000"/>
    <n v="11"/>
    <n v="77000"/>
    <d v="2023-01-10T00:00:00"/>
  </r>
  <r>
    <x v="23"/>
    <s v="José"/>
    <s v="Smith"/>
    <x v="0"/>
    <n v="7500"/>
    <n v="2"/>
    <n v="15000"/>
    <d v="2023-01-1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5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 chartFormat="4" rowHeaderCaption="Puesto">
  <location ref="B21:D46" firstHeaderRow="0" firstDataRow="1" firstDataCol="1" rowPageCount="1" colPageCount="1"/>
  <pivotFields count="8">
    <pivotField axis="axisRow" compact="0" outline="0" showAll="0" sortType="descending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compact="0" outline="0" showAll="0"/>
    <pivotField axis="axisPage" compact="0" outline="0" showAll="0">
      <items count="5">
        <item x="2"/>
        <item x="3"/>
        <item x="0"/>
        <item x="1"/>
        <item t="default"/>
      </items>
    </pivotField>
    <pivotField compact="0" numFmtId="164" outline="0" showAll="0"/>
    <pivotField dataField="1" compact="0" outline="0" showAll="0"/>
    <pivotField dataField="1" compact="0" numFmtId="164" outline="0" showAll="0"/>
    <pivotField compact="0" numFmtId="14" outline="0" showAll="0"/>
  </pivotFields>
  <rowFields count="1">
    <field x="0"/>
  </rowFields>
  <rowItems count="25">
    <i>
      <x v="11"/>
    </i>
    <i>
      <x v="18"/>
    </i>
    <i>
      <x v="21"/>
    </i>
    <i>
      <x v="6"/>
    </i>
    <i>
      <x v="20"/>
    </i>
    <i>
      <x v="7"/>
    </i>
    <i>
      <x v="8"/>
    </i>
    <i>
      <x v="15"/>
    </i>
    <i>
      <x v="1"/>
    </i>
    <i>
      <x v="4"/>
    </i>
    <i>
      <x v="3"/>
    </i>
    <i>
      <x v="12"/>
    </i>
    <i>
      <x v="9"/>
    </i>
    <i>
      <x v="19"/>
    </i>
    <i>
      <x v="22"/>
    </i>
    <i>
      <x v="16"/>
    </i>
    <i>
      <x v="2"/>
    </i>
    <i>
      <x v="10"/>
    </i>
    <i>
      <x/>
    </i>
    <i>
      <x v="13"/>
    </i>
    <i>
      <x v="17"/>
    </i>
    <i>
      <x v="14"/>
    </i>
    <i>
      <x v="23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Días trabajado" fld="5" baseField="0" baseItem="0"/>
    <dataField name="Total Sueldo" fld="6" baseField="0" baseItem="0"/>
  </dataFields>
  <formats count="3">
    <format dxfId="2">
      <pivotArea outline="0" collapsedLevelsAreSubtotals="1" fieldPosition="0"/>
    </format>
    <format dxfId="1">
      <pivotArea field="0" type="button" dataOnly="0" labelOnly="1" outline="0" axis="axisRow" fieldPosition="0"/>
    </format>
    <format dxfId="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 rowHeaderCaption="Puesto">
  <location ref="B10:C15" firstHeaderRow="1" firstDataRow="1" firstDataCol="1"/>
  <pivotFields count="8"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numFmtId="164" showAll="0"/>
    <pivotField showAll="0"/>
    <pivotField dataField="1" numFmtId="164" showAll="0"/>
    <pivotField numFmtId="14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sueldo gastado" fld="6" baseField="0" baseItem="0" numFmtId="164"/>
  </dataFields>
  <formats count="1">
    <format dxfId="3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0" rowHeaderCaption="Puesto">
  <location ref="B2:C7" firstHeaderRow="1" firstDataRow="1" firstDataCol="1"/>
  <pivotFields count="8"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numFmtId="164" showAll="0"/>
    <pivotField dataField="1" showAll="0" defaultSubtotal="0"/>
    <pivotField numFmtId="164" showAll="0"/>
    <pivotField numFmtId="14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Días trabajados" fld="5" baseField="0" baseItem="0"/>
  </dataFields>
  <chartFormats count="1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/>
  </sheetPr>
  <dimension ref="A1:M23"/>
  <sheetViews>
    <sheetView showGridLines="0" tabSelected="1" topLeftCell="A7" workbookViewId="0">
      <selection activeCell="L13" sqref="L13"/>
    </sheetView>
  </sheetViews>
  <sheetFormatPr baseColWidth="10" defaultRowHeight="15" x14ac:dyDescent="0.25"/>
  <sheetData>
    <row r="1" spans="1:13" x14ac:dyDescent="0.25">
      <c r="A1" s="9"/>
      <c r="B1" s="10"/>
      <c r="C1" s="10"/>
      <c r="D1" s="9"/>
      <c r="E1" s="9"/>
      <c r="F1" s="9"/>
      <c r="G1" s="11"/>
      <c r="H1" s="11"/>
      <c r="I1" s="9"/>
      <c r="J1" s="11"/>
      <c r="K1" s="11"/>
      <c r="L1" s="9"/>
      <c r="M1" s="9"/>
    </row>
    <row r="2" spans="1:13" x14ac:dyDescent="0.25">
      <c r="A2" s="9"/>
      <c r="B2" s="10"/>
      <c r="C2" s="10"/>
      <c r="D2" s="12"/>
      <c r="E2" s="12"/>
      <c r="F2" s="9"/>
      <c r="G2" s="11"/>
      <c r="H2" s="11"/>
      <c r="I2" s="9"/>
      <c r="J2" s="11"/>
      <c r="K2" s="11"/>
      <c r="L2" s="9"/>
      <c r="M2" s="13"/>
    </row>
    <row r="3" spans="1:13" x14ac:dyDescent="0.25">
      <c r="A3" s="9"/>
      <c r="B3" s="10"/>
      <c r="C3" s="10"/>
      <c r="J3" s="11"/>
      <c r="K3" s="11"/>
      <c r="L3" s="9"/>
      <c r="M3" s="13"/>
    </row>
    <row r="4" spans="1:13" x14ac:dyDescent="0.25">
      <c r="A4" s="9"/>
      <c r="B4" s="10"/>
      <c r="C4" s="10"/>
      <c r="J4" s="11"/>
      <c r="K4" s="11"/>
      <c r="L4" s="9"/>
      <c r="M4" s="13"/>
    </row>
    <row r="5" spans="1:13" x14ac:dyDescent="0.25">
      <c r="A5" s="9"/>
      <c r="B5" s="10"/>
      <c r="C5" s="10"/>
      <c r="J5" s="11"/>
      <c r="K5" s="11"/>
      <c r="L5" s="9"/>
      <c r="M5" s="13"/>
    </row>
    <row r="6" spans="1:13" x14ac:dyDescent="0.25">
      <c r="A6" s="9"/>
      <c r="B6" s="10"/>
      <c r="C6" s="10"/>
      <c r="J6" s="11"/>
      <c r="K6" s="11"/>
      <c r="L6" s="9"/>
      <c r="M6" s="13"/>
    </row>
    <row r="7" spans="1:13" x14ac:dyDescent="0.25">
      <c r="A7" s="9"/>
      <c r="B7" s="10"/>
      <c r="C7" s="10"/>
      <c r="J7" s="11"/>
      <c r="K7" s="11"/>
      <c r="L7" s="9"/>
      <c r="M7" s="13"/>
    </row>
    <row r="8" spans="1:13" x14ac:dyDescent="0.25">
      <c r="A8" s="14"/>
      <c r="B8" s="10"/>
      <c r="C8" s="10"/>
      <c r="J8" s="11"/>
      <c r="K8" s="11"/>
      <c r="L8" s="15"/>
      <c r="M8" s="13"/>
    </row>
    <row r="9" spans="1:13" x14ac:dyDescent="0.25">
      <c r="A9" s="14"/>
      <c r="B9" s="10"/>
      <c r="C9" s="10"/>
      <c r="J9" s="11"/>
      <c r="K9" s="11"/>
      <c r="L9" s="15"/>
      <c r="M9" s="13"/>
    </row>
    <row r="10" spans="1:13" x14ac:dyDescent="0.25">
      <c r="A10" s="14"/>
      <c r="B10" s="14"/>
      <c r="C10" s="9"/>
      <c r="D10" s="9"/>
      <c r="E10" s="16"/>
      <c r="F10" s="16"/>
      <c r="G10" s="16"/>
      <c r="H10" s="16"/>
      <c r="I10" s="9"/>
      <c r="J10" s="9"/>
      <c r="K10" s="15"/>
      <c r="L10" s="15"/>
      <c r="M10" s="13"/>
    </row>
    <row r="11" spans="1:13" x14ac:dyDescent="0.25">
      <c r="A11" s="14"/>
      <c r="B11" s="14"/>
      <c r="C11" s="9"/>
      <c r="D11" s="9"/>
      <c r="E11" s="16"/>
      <c r="F11" s="16"/>
      <c r="G11" s="16"/>
      <c r="H11" s="16"/>
      <c r="I11" s="9"/>
      <c r="J11" s="9"/>
      <c r="K11" s="15"/>
      <c r="L11" s="15"/>
      <c r="M11" s="17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23" spans="12:12" x14ac:dyDescent="0.25">
      <c r="L23" s="18"/>
    </row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K13" sqref="K13"/>
    </sheetView>
  </sheetViews>
  <sheetFormatPr baseColWidth="10" defaultRowHeight="15" x14ac:dyDescent="0.25"/>
  <cols>
    <col min="1" max="1" width="3" bestFit="1" customWidth="1"/>
    <col min="2" max="2" width="8.28515625" bestFit="1" customWidth="1"/>
    <col min="3" max="3" width="8.5703125" bestFit="1" customWidth="1"/>
    <col min="4" max="4" width="7.140625" bestFit="1" customWidth="1"/>
    <col min="5" max="5" width="11.5703125" bestFit="1" customWidth="1"/>
    <col min="6" max="6" width="14.42578125" bestFit="1" customWidth="1"/>
    <col min="7" max="7" width="11.5703125" bestFit="1" customWidth="1"/>
    <col min="8" max="8" width="14.28515625" bestFit="1" customWidth="1"/>
    <col min="9" max="9" width="14.140625" bestFit="1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I28"/>
  <sheetViews>
    <sheetView workbookViewId="0">
      <selection activeCell="G15" sqref="G15"/>
    </sheetView>
  </sheetViews>
  <sheetFormatPr baseColWidth="10" defaultRowHeight="15" x14ac:dyDescent="0.25"/>
  <cols>
    <col min="2" max="2" width="7.42578125" bestFit="1" customWidth="1"/>
    <col min="3" max="3" width="12.85546875" bestFit="1" customWidth="1"/>
    <col min="4" max="4" width="13.140625" bestFit="1" customWidth="1"/>
    <col min="5" max="5" width="11.7109375" bestFit="1" customWidth="1"/>
    <col min="6" max="6" width="16.140625" bestFit="1" customWidth="1"/>
    <col min="7" max="7" width="19" bestFit="1" customWidth="1"/>
    <col min="8" max="8" width="16" bestFit="1" customWidth="1"/>
    <col min="9" max="9" width="17.7109375" bestFit="1" customWidth="1"/>
  </cols>
  <sheetData>
    <row r="2" spans="2:9" ht="18" x14ac:dyDescent="0.25">
      <c r="B2" s="28" t="s">
        <v>30</v>
      </c>
      <c r="C2" s="29"/>
      <c r="D2" s="29"/>
      <c r="E2" s="29"/>
      <c r="F2" s="29"/>
      <c r="G2" s="29"/>
      <c r="H2" s="29"/>
      <c r="I2" s="29"/>
    </row>
    <row r="4" spans="2:9" x14ac:dyDescent="0.25">
      <c r="B4" s="5" t="s">
        <v>0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42</v>
      </c>
      <c r="I4" s="5" t="s">
        <v>43</v>
      </c>
    </row>
    <row r="5" spans="2:9" x14ac:dyDescent="0.25">
      <c r="B5" s="6">
        <v>1</v>
      </c>
      <c r="C5" s="7" t="s">
        <v>6</v>
      </c>
      <c r="D5" s="7" t="s">
        <v>17</v>
      </c>
      <c r="E5" s="7" t="s">
        <v>27</v>
      </c>
      <c r="F5" s="8">
        <v>2000</v>
      </c>
      <c r="G5" s="19">
        <v>34</v>
      </c>
      <c r="H5" s="8">
        <f>F5*G5</f>
        <v>68000</v>
      </c>
      <c r="I5" s="23">
        <v>44927</v>
      </c>
    </row>
    <row r="6" spans="2:9" x14ac:dyDescent="0.25">
      <c r="B6" s="2">
        <v>2</v>
      </c>
      <c r="C6" s="3" t="s">
        <v>7</v>
      </c>
      <c r="D6" s="3" t="s">
        <v>18</v>
      </c>
      <c r="E6" s="3" t="s">
        <v>26</v>
      </c>
      <c r="F6" s="4">
        <v>2500</v>
      </c>
      <c r="G6" s="20">
        <v>48</v>
      </c>
      <c r="H6" s="4">
        <f t="shared" ref="H6:H28" si="0">F6*G6</f>
        <v>120000</v>
      </c>
      <c r="I6" s="22">
        <v>44928</v>
      </c>
    </row>
    <row r="7" spans="2:9" x14ac:dyDescent="0.25">
      <c r="B7" s="6">
        <v>3</v>
      </c>
      <c r="C7" s="7" t="s">
        <v>8</v>
      </c>
      <c r="D7" s="7" t="s">
        <v>19</v>
      </c>
      <c r="E7" s="7" t="s">
        <v>27</v>
      </c>
      <c r="F7" s="8">
        <v>3000</v>
      </c>
      <c r="G7" s="19">
        <v>25</v>
      </c>
      <c r="H7" s="8">
        <f t="shared" si="0"/>
        <v>75000</v>
      </c>
      <c r="I7" s="23">
        <v>44929</v>
      </c>
    </row>
    <row r="8" spans="2:9" x14ac:dyDescent="0.25">
      <c r="B8" s="2">
        <v>4</v>
      </c>
      <c r="C8" s="3" t="s">
        <v>9</v>
      </c>
      <c r="D8" s="3" t="s">
        <v>20</v>
      </c>
      <c r="E8" s="3" t="s">
        <v>28</v>
      </c>
      <c r="F8" s="4">
        <v>3500</v>
      </c>
      <c r="G8" s="20">
        <v>27</v>
      </c>
      <c r="H8" s="4">
        <f t="shared" si="0"/>
        <v>94500</v>
      </c>
      <c r="I8" s="22">
        <v>44930</v>
      </c>
    </row>
    <row r="9" spans="2:9" x14ac:dyDescent="0.25">
      <c r="B9" s="6">
        <v>5</v>
      </c>
      <c r="C9" s="7" t="s">
        <v>6</v>
      </c>
      <c r="D9" s="7" t="s">
        <v>21</v>
      </c>
      <c r="E9" s="7" t="s">
        <v>28</v>
      </c>
      <c r="F9" s="8">
        <v>4000</v>
      </c>
      <c r="G9" s="19">
        <v>24</v>
      </c>
      <c r="H9" s="8">
        <f t="shared" si="0"/>
        <v>96000</v>
      </c>
      <c r="I9" s="23">
        <v>44928</v>
      </c>
    </row>
    <row r="10" spans="2:9" x14ac:dyDescent="0.25">
      <c r="B10" s="2">
        <v>6</v>
      </c>
      <c r="C10" s="3" t="s">
        <v>10</v>
      </c>
      <c r="D10" s="3" t="s">
        <v>22</v>
      </c>
      <c r="E10" s="3" t="s">
        <v>27</v>
      </c>
      <c r="F10" s="4">
        <v>4500</v>
      </c>
      <c r="G10" s="20">
        <v>3</v>
      </c>
      <c r="H10" s="4">
        <f t="shared" si="0"/>
        <v>13500</v>
      </c>
      <c r="I10" s="24">
        <v>44932</v>
      </c>
    </row>
    <row r="11" spans="2:9" x14ac:dyDescent="0.25">
      <c r="B11" s="6">
        <v>7</v>
      </c>
      <c r="C11" s="7" t="s">
        <v>11</v>
      </c>
      <c r="D11" s="7" t="s">
        <v>22</v>
      </c>
      <c r="E11" s="7" t="s">
        <v>29</v>
      </c>
      <c r="F11" s="8">
        <v>5000</v>
      </c>
      <c r="G11" s="19">
        <v>41</v>
      </c>
      <c r="H11" s="8">
        <f t="shared" si="0"/>
        <v>205000</v>
      </c>
      <c r="I11" s="23">
        <v>44933</v>
      </c>
    </row>
    <row r="12" spans="2:9" x14ac:dyDescent="0.25">
      <c r="B12" s="2">
        <v>8</v>
      </c>
      <c r="C12" s="3" t="s">
        <v>12</v>
      </c>
      <c r="D12" s="3" t="s">
        <v>23</v>
      </c>
      <c r="E12" s="3" t="s">
        <v>27</v>
      </c>
      <c r="F12" s="4">
        <v>5500</v>
      </c>
      <c r="G12" s="20">
        <v>36</v>
      </c>
      <c r="H12" s="4">
        <f t="shared" si="0"/>
        <v>198000</v>
      </c>
      <c r="I12" s="24">
        <v>44934</v>
      </c>
    </row>
    <row r="13" spans="2:9" x14ac:dyDescent="0.25">
      <c r="B13" s="6">
        <v>9</v>
      </c>
      <c r="C13" s="7" t="s">
        <v>13</v>
      </c>
      <c r="D13" s="7" t="s">
        <v>24</v>
      </c>
      <c r="E13" s="7" t="s">
        <v>29</v>
      </c>
      <c r="F13" s="8">
        <v>6000</v>
      </c>
      <c r="G13" s="19">
        <v>30</v>
      </c>
      <c r="H13" s="8">
        <f t="shared" si="0"/>
        <v>180000</v>
      </c>
      <c r="I13" s="23">
        <v>44928</v>
      </c>
    </row>
    <row r="14" spans="2:9" x14ac:dyDescent="0.25">
      <c r="B14" s="2">
        <v>10</v>
      </c>
      <c r="C14" s="3" t="s">
        <v>14</v>
      </c>
      <c r="D14" s="3" t="s">
        <v>25</v>
      </c>
      <c r="E14" s="3" t="s">
        <v>28</v>
      </c>
      <c r="F14" s="4">
        <v>6500</v>
      </c>
      <c r="G14" s="20">
        <v>13</v>
      </c>
      <c r="H14" s="4">
        <f t="shared" si="0"/>
        <v>84500</v>
      </c>
      <c r="I14" s="24">
        <v>44933</v>
      </c>
    </row>
    <row r="15" spans="2:9" x14ac:dyDescent="0.25">
      <c r="B15" s="6">
        <v>11</v>
      </c>
      <c r="C15" s="7" t="s">
        <v>15</v>
      </c>
      <c r="D15" s="7" t="s">
        <v>25</v>
      </c>
      <c r="E15" s="7" t="s">
        <v>29</v>
      </c>
      <c r="F15" s="8">
        <v>7000</v>
      </c>
      <c r="G15" s="19">
        <v>10</v>
      </c>
      <c r="H15" s="8">
        <f t="shared" si="0"/>
        <v>70000</v>
      </c>
      <c r="I15" s="23">
        <v>44933</v>
      </c>
    </row>
    <row r="16" spans="2:9" x14ac:dyDescent="0.25">
      <c r="B16" s="2">
        <v>12</v>
      </c>
      <c r="C16" s="3" t="s">
        <v>16</v>
      </c>
      <c r="D16" s="3" t="s">
        <v>23</v>
      </c>
      <c r="E16" s="3" t="s">
        <v>27</v>
      </c>
      <c r="F16" s="4">
        <v>7500</v>
      </c>
      <c r="G16" s="20">
        <v>45</v>
      </c>
      <c r="H16" s="4">
        <f t="shared" si="0"/>
        <v>337500</v>
      </c>
      <c r="I16" s="22">
        <v>44933</v>
      </c>
    </row>
    <row r="17" spans="2:9" x14ac:dyDescent="0.25">
      <c r="B17" s="6">
        <v>13</v>
      </c>
      <c r="C17" s="7" t="s">
        <v>31</v>
      </c>
      <c r="D17" s="7" t="s">
        <v>17</v>
      </c>
      <c r="E17" s="7" t="s">
        <v>27</v>
      </c>
      <c r="F17" s="8">
        <v>2000</v>
      </c>
      <c r="G17" s="19">
        <v>46</v>
      </c>
      <c r="H17" s="8">
        <f t="shared" si="0"/>
        <v>92000</v>
      </c>
      <c r="I17" s="23">
        <v>44929</v>
      </c>
    </row>
    <row r="18" spans="2:9" x14ac:dyDescent="0.25">
      <c r="B18" s="2">
        <v>14</v>
      </c>
      <c r="C18" s="3" t="s">
        <v>32</v>
      </c>
      <c r="D18" s="3" t="s">
        <v>33</v>
      </c>
      <c r="E18" s="3" t="s">
        <v>26</v>
      </c>
      <c r="F18" s="4">
        <v>2500</v>
      </c>
      <c r="G18" s="20">
        <v>27</v>
      </c>
      <c r="H18" s="4">
        <f t="shared" si="0"/>
        <v>67500</v>
      </c>
      <c r="I18" s="22">
        <v>44929</v>
      </c>
    </row>
    <row r="19" spans="2:9" x14ac:dyDescent="0.25">
      <c r="B19" s="6">
        <v>15</v>
      </c>
      <c r="C19" s="7" t="s">
        <v>34</v>
      </c>
      <c r="D19" s="7" t="s">
        <v>19</v>
      </c>
      <c r="E19" s="7" t="s">
        <v>27</v>
      </c>
      <c r="F19" s="8">
        <v>3000</v>
      </c>
      <c r="G19" s="19">
        <v>6</v>
      </c>
      <c r="H19" s="8">
        <f t="shared" si="0"/>
        <v>18000</v>
      </c>
      <c r="I19" s="23">
        <v>44941</v>
      </c>
    </row>
    <row r="20" spans="2:9" x14ac:dyDescent="0.25">
      <c r="B20" s="2">
        <v>16</v>
      </c>
      <c r="C20" s="3" t="s">
        <v>35</v>
      </c>
      <c r="D20" s="3" t="s">
        <v>20</v>
      </c>
      <c r="E20" s="3" t="s">
        <v>28</v>
      </c>
      <c r="F20" s="4">
        <v>3500</v>
      </c>
      <c r="G20" s="20">
        <v>37</v>
      </c>
      <c r="H20" s="4">
        <f t="shared" si="0"/>
        <v>129500</v>
      </c>
      <c r="I20" s="24">
        <v>44929</v>
      </c>
    </row>
    <row r="21" spans="2:9" x14ac:dyDescent="0.25">
      <c r="B21" s="6">
        <v>17</v>
      </c>
      <c r="C21" s="7" t="s">
        <v>36</v>
      </c>
      <c r="D21" s="7" t="s">
        <v>21</v>
      </c>
      <c r="E21" s="7" t="s">
        <v>28</v>
      </c>
      <c r="F21" s="8">
        <v>4000</v>
      </c>
      <c r="G21" s="19">
        <v>19</v>
      </c>
      <c r="H21" s="8">
        <f t="shared" si="0"/>
        <v>76000</v>
      </c>
      <c r="I21" s="23">
        <v>44930</v>
      </c>
    </row>
    <row r="22" spans="2:9" x14ac:dyDescent="0.25">
      <c r="B22" s="2">
        <v>18</v>
      </c>
      <c r="C22" s="3" t="s">
        <v>37</v>
      </c>
      <c r="D22" s="3" t="s">
        <v>22</v>
      </c>
      <c r="E22" s="3" t="s">
        <v>27</v>
      </c>
      <c r="F22" s="4">
        <v>4500</v>
      </c>
      <c r="G22" s="20">
        <v>12</v>
      </c>
      <c r="H22" s="4">
        <f t="shared" si="0"/>
        <v>54000</v>
      </c>
      <c r="I22" s="24">
        <v>44931</v>
      </c>
    </row>
    <row r="23" spans="2:9" x14ac:dyDescent="0.25">
      <c r="B23" s="6">
        <v>19</v>
      </c>
      <c r="C23" s="7" t="s">
        <v>38</v>
      </c>
      <c r="D23" s="7" t="s">
        <v>22</v>
      </c>
      <c r="E23" s="7" t="s">
        <v>29</v>
      </c>
      <c r="F23" s="8">
        <v>5000</v>
      </c>
      <c r="G23" s="19">
        <v>48</v>
      </c>
      <c r="H23" s="8">
        <f t="shared" si="0"/>
        <v>240000</v>
      </c>
      <c r="I23" s="23">
        <v>44932</v>
      </c>
    </row>
    <row r="24" spans="2:9" x14ac:dyDescent="0.25">
      <c r="B24" s="2">
        <v>20</v>
      </c>
      <c r="C24" s="3" t="s">
        <v>39</v>
      </c>
      <c r="D24" s="3" t="s">
        <v>23</v>
      </c>
      <c r="E24" s="3" t="s">
        <v>27</v>
      </c>
      <c r="F24" s="4">
        <v>5500</v>
      </c>
      <c r="G24" s="20">
        <v>15</v>
      </c>
      <c r="H24" s="4">
        <f t="shared" si="0"/>
        <v>82500</v>
      </c>
      <c r="I24" s="24">
        <v>44933</v>
      </c>
    </row>
    <row r="25" spans="2:9" x14ac:dyDescent="0.25">
      <c r="B25" s="6">
        <v>21</v>
      </c>
      <c r="C25" s="7" t="s">
        <v>40</v>
      </c>
      <c r="D25" s="7" t="s">
        <v>24</v>
      </c>
      <c r="E25" s="7" t="s">
        <v>29</v>
      </c>
      <c r="F25" s="8">
        <v>6000</v>
      </c>
      <c r="G25" s="19">
        <v>34</v>
      </c>
      <c r="H25" s="8">
        <f t="shared" si="0"/>
        <v>204000</v>
      </c>
      <c r="I25" s="23">
        <v>44934</v>
      </c>
    </row>
    <row r="26" spans="2:9" x14ac:dyDescent="0.25">
      <c r="B26" s="2">
        <v>22</v>
      </c>
      <c r="C26" s="3" t="s">
        <v>8</v>
      </c>
      <c r="D26" s="3" t="s">
        <v>25</v>
      </c>
      <c r="E26" s="3" t="s">
        <v>28</v>
      </c>
      <c r="F26" s="4">
        <v>6500</v>
      </c>
      <c r="G26" s="20">
        <v>32</v>
      </c>
      <c r="H26" s="4">
        <f t="shared" si="0"/>
        <v>208000</v>
      </c>
      <c r="I26" s="24">
        <v>44935</v>
      </c>
    </row>
    <row r="27" spans="2:9" x14ac:dyDescent="0.25">
      <c r="B27" s="6">
        <v>23</v>
      </c>
      <c r="C27" s="7" t="s">
        <v>41</v>
      </c>
      <c r="D27" s="7" t="s">
        <v>25</v>
      </c>
      <c r="E27" s="7" t="s">
        <v>29</v>
      </c>
      <c r="F27" s="8">
        <v>7000</v>
      </c>
      <c r="G27" s="19">
        <v>11</v>
      </c>
      <c r="H27" s="8">
        <f t="shared" si="0"/>
        <v>77000</v>
      </c>
      <c r="I27" s="23">
        <v>44936</v>
      </c>
    </row>
    <row r="28" spans="2:9" x14ac:dyDescent="0.25">
      <c r="B28" s="2">
        <v>24</v>
      </c>
      <c r="C28" s="3" t="s">
        <v>11</v>
      </c>
      <c r="D28" s="3" t="s">
        <v>23</v>
      </c>
      <c r="E28" s="3" t="s">
        <v>27</v>
      </c>
      <c r="F28" s="4">
        <v>7500</v>
      </c>
      <c r="G28" s="20">
        <v>2</v>
      </c>
      <c r="H28" s="4">
        <f t="shared" si="0"/>
        <v>15000</v>
      </c>
      <c r="I28" s="24">
        <v>44937</v>
      </c>
    </row>
  </sheetData>
  <sheetProtection sheet="1" objects="1" scenarios="1" selectLockedCells="1" selectUnlockedCells="1"/>
  <autoFilter ref="B4:I28"/>
  <mergeCells count="1">
    <mergeCell ref="B2:I2"/>
  </mergeCells>
  <dataValidations count="1">
    <dataValidation type="textLength" allowBlank="1" showInputMessage="1" showErrorMessage="1" sqref="I5:I28">
      <formula1>0</formula1>
      <formula2>10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H46"/>
  <sheetViews>
    <sheetView topLeftCell="A16" workbookViewId="0">
      <selection activeCell="D26" sqref="D26"/>
    </sheetView>
  </sheetViews>
  <sheetFormatPr baseColWidth="10" defaultRowHeight="15" x14ac:dyDescent="0.25"/>
  <cols>
    <col min="1" max="1" width="3" bestFit="1" customWidth="1"/>
    <col min="2" max="2" width="12.5703125" customWidth="1"/>
    <col min="3" max="3" width="13.5703125" customWidth="1"/>
    <col min="4" max="4" width="12" customWidth="1"/>
    <col min="5" max="5" width="3.28515625" customWidth="1"/>
    <col min="6" max="6" width="13.7109375" customWidth="1"/>
    <col min="7" max="7" width="13.7109375" bestFit="1" customWidth="1"/>
    <col min="8" max="8" width="13.7109375" customWidth="1"/>
    <col min="9" max="13" width="13.7109375" bestFit="1" customWidth="1"/>
    <col min="14" max="14" width="13.7109375" customWidth="1"/>
    <col min="15" max="26" width="13.7109375" bestFit="1" customWidth="1"/>
    <col min="27" max="27" width="14" bestFit="1" customWidth="1"/>
  </cols>
  <sheetData>
    <row r="1" spans="2:3" ht="15.75" x14ac:dyDescent="0.25">
      <c r="B1" s="30" t="s">
        <v>46</v>
      </c>
      <c r="C1" s="30"/>
    </row>
    <row r="2" spans="2:3" x14ac:dyDescent="0.25">
      <c r="B2" s="25" t="s">
        <v>3</v>
      </c>
      <c r="C2" t="s">
        <v>45</v>
      </c>
    </row>
    <row r="3" spans="2:3" x14ac:dyDescent="0.25">
      <c r="B3" s="26" t="s">
        <v>28</v>
      </c>
      <c r="C3" s="27">
        <v>152</v>
      </c>
    </row>
    <row r="4" spans="2:3" x14ac:dyDescent="0.25">
      <c r="B4" s="26" t="s">
        <v>29</v>
      </c>
      <c r="C4" s="27">
        <v>174</v>
      </c>
    </row>
    <row r="5" spans="2:3" x14ac:dyDescent="0.25">
      <c r="B5" s="26" t="s">
        <v>27</v>
      </c>
      <c r="C5" s="27">
        <v>224</v>
      </c>
    </row>
    <row r="6" spans="2:3" x14ac:dyDescent="0.25">
      <c r="B6" s="26" t="s">
        <v>26</v>
      </c>
      <c r="C6" s="27">
        <v>75</v>
      </c>
    </row>
    <row r="7" spans="2:3" x14ac:dyDescent="0.25">
      <c r="B7" s="26" t="s">
        <v>44</v>
      </c>
      <c r="C7" s="27">
        <v>625</v>
      </c>
    </row>
    <row r="9" spans="2:3" ht="15.75" x14ac:dyDescent="0.25">
      <c r="B9" s="30" t="s">
        <v>47</v>
      </c>
      <c r="C9" s="30"/>
    </row>
    <row r="10" spans="2:3" x14ac:dyDescent="0.25">
      <c r="B10" s="25" t="s">
        <v>3</v>
      </c>
      <c r="C10" t="s">
        <v>48</v>
      </c>
    </row>
    <row r="11" spans="2:3" x14ac:dyDescent="0.25">
      <c r="B11" s="26" t="s">
        <v>28</v>
      </c>
      <c r="C11" s="21">
        <v>688500</v>
      </c>
    </row>
    <row r="12" spans="2:3" x14ac:dyDescent="0.25">
      <c r="B12" s="26" t="s">
        <v>29</v>
      </c>
      <c r="C12" s="21">
        <v>976000</v>
      </c>
    </row>
    <row r="13" spans="2:3" x14ac:dyDescent="0.25">
      <c r="B13" s="26" t="s">
        <v>27</v>
      </c>
      <c r="C13" s="21">
        <v>953500</v>
      </c>
    </row>
    <row r="14" spans="2:3" x14ac:dyDescent="0.25">
      <c r="B14" s="26" t="s">
        <v>26</v>
      </c>
      <c r="C14" s="21">
        <v>187500</v>
      </c>
    </row>
    <row r="15" spans="2:3" x14ac:dyDescent="0.25">
      <c r="B15" s="26" t="s">
        <v>44</v>
      </c>
      <c r="C15" s="21">
        <v>2805500</v>
      </c>
    </row>
    <row r="17" spans="2:8" x14ac:dyDescent="0.25">
      <c r="C17" s="21"/>
    </row>
    <row r="18" spans="2:8" ht="15.75" x14ac:dyDescent="0.25">
      <c r="B18" s="31" t="s">
        <v>50</v>
      </c>
      <c r="C18" s="31"/>
    </row>
    <row r="19" spans="2:8" x14ac:dyDescent="0.25">
      <c r="B19" s="25" t="s">
        <v>3</v>
      </c>
      <c r="C19" t="s">
        <v>53</v>
      </c>
    </row>
    <row r="20" spans="2:8" ht="15.75" x14ac:dyDescent="0.25">
      <c r="B20" s="30" t="s">
        <v>49</v>
      </c>
      <c r="C20" s="30"/>
      <c r="D20" s="30"/>
      <c r="E20" s="30"/>
      <c r="F20" s="30"/>
      <c r="G20" s="30"/>
      <c r="H20" s="30"/>
    </row>
    <row r="21" spans="2:8" x14ac:dyDescent="0.25">
      <c r="B21" s="32" t="s">
        <v>0</v>
      </c>
      <c r="C21" t="s">
        <v>51</v>
      </c>
      <c r="D21" t="s">
        <v>52</v>
      </c>
      <c r="F21" s="5" t="s">
        <v>1</v>
      </c>
      <c r="G21" s="5" t="s">
        <v>2</v>
      </c>
      <c r="H21" s="5" t="s">
        <v>3</v>
      </c>
    </row>
    <row r="22" spans="2:8" x14ac:dyDescent="0.25">
      <c r="B22">
        <v>12</v>
      </c>
      <c r="C22" s="27">
        <v>45</v>
      </c>
      <c r="D22" s="21">
        <v>337500</v>
      </c>
      <c r="F22" s="3" t="str">
        <f>IFERROR(VLOOKUP(B22,Datos!$B$5:$E$28,2,FALSE)," ")</f>
        <v>Lola</v>
      </c>
      <c r="G22" s="3" t="str">
        <f>IFERROR(VLOOKUP(B22,Datos!$B$5:$I$28,3,FALSE), " ")</f>
        <v>Smith</v>
      </c>
      <c r="H22" s="3" t="str">
        <f>IFERROR(VLOOKUP(B22,Datos!$B$5:$I$28,4,FALSE), " ")</f>
        <v>Ingeniero</v>
      </c>
    </row>
    <row r="23" spans="2:8" x14ac:dyDescent="0.25">
      <c r="B23">
        <v>19</v>
      </c>
      <c r="C23" s="27">
        <v>48</v>
      </c>
      <c r="D23" s="21">
        <v>240000</v>
      </c>
      <c r="F23" s="3" t="str">
        <f>IFERROR(VLOOKUP(B23,Datos!$B$5:$E$28,2,FALSE)," ")</f>
        <v>Dolores</v>
      </c>
      <c r="G23" s="3" t="str">
        <f>IFERROR(VLOOKUP(B23,Datos!$B$5:$I$28,3,FALSE), " ")</f>
        <v>Perez</v>
      </c>
      <c r="H23" s="3" t="str">
        <f>IFERROR(VLOOKUP(B23,Datos!$B$5:$I$28,4,FALSE), " ")</f>
        <v>Docente</v>
      </c>
    </row>
    <row r="24" spans="2:8" x14ac:dyDescent="0.25">
      <c r="B24">
        <v>22</v>
      </c>
      <c r="C24" s="27">
        <v>32</v>
      </c>
      <c r="D24" s="21">
        <v>208000</v>
      </c>
      <c r="F24" s="3" t="str">
        <f>IFERROR(VLOOKUP(B24,Datos!$B$5:$E$28,2,FALSE)," ")</f>
        <v>Pedro</v>
      </c>
      <c r="G24" s="3" t="str">
        <f>IFERROR(VLOOKUP(B24,Datos!$B$5:$I$28,3,FALSE), " ")</f>
        <v>Plata</v>
      </c>
      <c r="H24" s="3" t="str">
        <f>IFERROR(VLOOKUP(B24,Datos!$B$5:$I$28,4,FALSE), " ")</f>
        <v>Auxiliar</v>
      </c>
    </row>
    <row r="25" spans="2:8" x14ac:dyDescent="0.25">
      <c r="B25">
        <v>7</v>
      </c>
      <c r="C25" s="27">
        <v>41</v>
      </c>
      <c r="D25" s="21">
        <v>205000</v>
      </c>
      <c r="F25" s="3" t="str">
        <f>IFERROR(VLOOKUP(B25,Datos!$B$5:$E$28,2,FALSE)," ")</f>
        <v>José</v>
      </c>
      <c r="G25" s="3" t="str">
        <f>IFERROR(VLOOKUP(B25,Datos!$B$5:$I$28,3,FALSE), " ")</f>
        <v>Perez</v>
      </c>
      <c r="H25" s="3" t="str">
        <f>IFERROR(VLOOKUP(B25,Datos!$B$5:$I$28,4,FALSE), " ")</f>
        <v>Docente</v>
      </c>
    </row>
    <row r="26" spans="2:8" x14ac:dyDescent="0.25">
      <c r="B26">
        <v>21</v>
      </c>
      <c r="C26" s="27">
        <v>34</v>
      </c>
      <c r="D26" s="21">
        <v>204000</v>
      </c>
      <c r="F26" s="3" t="str">
        <f>IFERROR(VLOOKUP(B26,Datos!$B$5:$E$28,2,FALSE)," ")</f>
        <v>Jesús</v>
      </c>
      <c r="G26" s="3" t="str">
        <f>IFERROR(VLOOKUP(B26,Datos!$B$5:$I$28,3,FALSE), " ")</f>
        <v>Santander</v>
      </c>
      <c r="H26" s="3" t="str">
        <f>IFERROR(VLOOKUP(B26,Datos!$B$5:$I$28,4,FALSE), " ")</f>
        <v>Docente</v>
      </c>
    </row>
    <row r="27" spans="2:8" x14ac:dyDescent="0.25">
      <c r="B27">
        <v>8</v>
      </c>
      <c r="C27" s="27">
        <v>36</v>
      </c>
      <c r="D27" s="21">
        <v>198000</v>
      </c>
      <c r="F27" s="3" t="str">
        <f>IFERROR(VLOOKUP(B27,Datos!$B$5:$E$28,2,FALSE)," ")</f>
        <v>Alex</v>
      </c>
      <c r="G27" s="3" t="str">
        <f>IFERROR(VLOOKUP(B27,Datos!$B$5:$I$28,3,FALSE), " ")</f>
        <v>Smith</v>
      </c>
      <c r="H27" s="3" t="str">
        <f>IFERROR(VLOOKUP(B27,Datos!$B$5:$I$28,4,FALSE), " ")</f>
        <v>Ingeniero</v>
      </c>
    </row>
    <row r="28" spans="2:8" x14ac:dyDescent="0.25">
      <c r="B28">
        <v>9</v>
      </c>
      <c r="C28" s="27">
        <v>30</v>
      </c>
      <c r="D28" s="21">
        <v>180000</v>
      </c>
      <c r="F28" s="3" t="str">
        <f>IFERROR(VLOOKUP(B28,Datos!$B$5:$E$28,2,FALSE)," ")</f>
        <v>Danna</v>
      </c>
      <c r="G28" s="3" t="str">
        <f>IFERROR(VLOOKUP(B28,Datos!$B$5:$I$28,3,FALSE), " ")</f>
        <v>Santander</v>
      </c>
      <c r="H28" s="3" t="str">
        <f>IFERROR(VLOOKUP(B28,Datos!$B$5:$I$28,4,FALSE), " ")</f>
        <v>Docente</v>
      </c>
    </row>
    <row r="29" spans="2:8" x14ac:dyDescent="0.25">
      <c r="B29">
        <v>16</v>
      </c>
      <c r="C29" s="27">
        <v>37</v>
      </c>
      <c r="D29" s="21">
        <v>129500</v>
      </c>
      <c r="F29" s="3" t="str">
        <f>IFERROR(VLOOKUP(B29,Datos!$B$5:$E$28,2,FALSE)," ")</f>
        <v>Fernando</v>
      </c>
      <c r="G29" s="3" t="str">
        <f>IFERROR(VLOOKUP(B29,Datos!$B$5:$I$28,3,FALSE), " ")</f>
        <v>Ramirez</v>
      </c>
      <c r="H29" s="3" t="str">
        <f>IFERROR(VLOOKUP(B29,Datos!$B$5:$I$28,4,FALSE), " ")</f>
        <v>Auxiliar</v>
      </c>
    </row>
    <row r="30" spans="2:8" x14ac:dyDescent="0.25">
      <c r="B30">
        <v>2</v>
      </c>
      <c r="C30" s="27">
        <v>48</v>
      </c>
      <c r="D30" s="21">
        <v>120000</v>
      </c>
      <c r="F30" s="3" t="str">
        <f>IFERROR(VLOOKUP(B30,Datos!$B$5:$E$28,2,FALSE)," ")</f>
        <v>Ana</v>
      </c>
      <c r="G30" s="3" t="str">
        <f>IFERROR(VLOOKUP(B30,Datos!$B$5:$I$28,3,FALSE), " ")</f>
        <v>Alvarez</v>
      </c>
      <c r="H30" s="3" t="str">
        <f>IFERROR(VLOOKUP(B30,Datos!$B$5:$I$28,4,FALSE), " ")</f>
        <v>Secretaria</v>
      </c>
    </row>
    <row r="31" spans="2:8" x14ac:dyDescent="0.25">
      <c r="B31">
        <v>5</v>
      </c>
      <c r="C31" s="27">
        <v>24</v>
      </c>
      <c r="D31" s="21">
        <v>96000</v>
      </c>
      <c r="F31" s="3" t="str">
        <f>IFERROR(VLOOKUP(B31,Datos!$B$5:$E$28,2,FALSE)," ")</f>
        <v>Luis</v>
      </c>
      <c r="G31" s="3" t="str">
        <f>IFERROR(VLOOKUP(B31,Datos!$B$5:$I$28,3,FALSE), " ")</f>
        <v>Lopez</v>
      </c>
      <c r="H31" s="3" t="str">
        <f>IFERROR(VLOOKUP(B31,Datos!$B$5:$I$28,4,FALSE), " ")</f>
        <v>Auxiliar</v>
      </c>
    </row>
    <row r="32" spans="2:8" x14ac:dyDescent="0.25">
      <c r="B32">
        <v>4</v>
      </c>
      <c r="C32" s="27">
        <v>27</v>
      </c>
      <c r="D32" s="21">
        <v>94500</v>
      </c>
      <c r="F32" s="3" t="str">
        <f>IFERROR(VLOOKUP(B32,Datos!$B$5:$E$28,2,FALSE)," ")</f>
        <v>Jorge</v>
      </c>
      <c r="G32" s="3" t="str">
        <f>IFERROR(VLOOKUP(B32,Datos!$B$5:$I$28,3,FALSE), " ")</f>
        <v>Ramirez</v>
      </c>
      <c r="H32" s="3" t="str">
        <f>IFERROR(VLOOKUP(B32,Datos!$B$5:$I$28,4,FALSE), " ")</f>
        <v>Auxiliar</v>
      </c>
    </row>
    <row r="33" spans="2:8" x14ac:dyDescent="0.25">
      <c r="B33">
        <v>13</v>
      </c>
      <c r="C33" s="27">
        <v>46</v>
      </c>
      <c r="D33" s="21">
        <v>92000</v>
      </c>
      <c r="F33" s="3" t="str">
        <f>IFERROR(VLOOKUP(B33,Datos!$B$5:$E$28,2,FALSE)," ")</f>
        <v>Donovan</v>
      </c>
      <c r="G33" s="3" t="str">
        <f>IFERROR(VLOOKUP(B33,Datos!$B$5:$I$28,3,FALSE), " ")</f>
        <v>Apaez</v>
      </c>
      <c r="H33" s="3" t="str">
        <f>IFERROR(VLOOKUP(B33,Datos!$B$5:$I$28,4,FALSE), " ")</f>
        <v>Ingeniero</v>
      </c>
    </row>
    <row r="34" spans="2:8" x14ac:dyDescent="0.25">
      <c r="B34">
        <v>10</v>
      </c>
      <c r="C34" s="27">
        <v>13</v>
      </c>
      <c r="D34" s="21">
        <v>84500</v>
      </c>
      <c r="F34" s="3" t="str">
        <f>IFERROR(VLOOKUP(B34,Datos!$B$5:$E$28,2,FALSE)," ")</f>
        <v>Alexa</v>
      </c>
      <c r="G34" s="3" t="str">
        <f>IFERROR(VLOOKUP(B34,Datos!$B$5:$I$28,3,FALSE), " ")</f>
        <v>Plata</v>
      </c>
      <c r="H34" s="3" t="str">
        <f>IFERROR(VLOOKUP(B34,Datos!$B$5:$I$28,4,FALSE), " ")</f>
        <v>Auxiliar</v>
      </c>
    </row>
    <row r="35" spans="2:8" x14ac:dyDescent="0.25">
      <c r="B35">
        <v>20</v>
      </c>
      <c r="C35" s="27">
        <v>15</v>
      </c>
      <c r="D35" s="21">
        <v>82500</v>
      </c>
      <c r="F35" s="3" t="str">
        <f>IFERROR(VLOOKUP(B35,Datos!$B$5:$E$28,2,FALSE)," ")</f>
        <v>Juan</v>
      </c>
      <c r="G35" s="3" t="str">
        <f>IFERROR(VLOOKUP(B35,Datos!$B$5:$I$28,3,FALSE), " ")</f>
        <v>Smith</v>
      </c>
      <c r="H35" s="3" t="str">
        <f>IFERROR(VLOOKUP(B35,Datos!$B$5:$I$28,4,FALSE), " ")</f>
        <v>Ingeniero</v>
      </c>
    </row>
    <row r="36" spans="2:8" x14ac:dyDescent="0.25">
      <c r="B36">
        <v>23</v>
      </c>
      <c r="C36" s="27">
        <v>11</v>
      </c>
      <c r="D36" s="21">
        <v>77000</v>
      </c>
      <c r="F36" s="3" t="str">
        <f>IFERROR(VLOOKUP(B36,Datos!$B$5:$E$28,2,FALSE)," ")</f>
        <v>María</v>
      </c>
      <c r="G36" s="3" t="str">
        <f>IFERROR(VLOOKUP(B36,Datos!$B$5:$I$28,3,FALSE), " ")</f>
        <v>Plata</v>
      </c>
      <c r="H36" s="3" t="str">
        <f>IFERROR(VLOOKUP(B36,Datos!$B$5:$I$28,4,FALSE), " ")</f>
        <v>Docente</v>
      </c>
    </row>
    <row r="37" spans="2:8" x14ac:dyDescent="0.25">
      <c r="B37">
        <v>17</v>
      </c>
      <c r="C37" s="27">
        <v>19</v>
      </c>
      <c r="D37" s="21">
        <v>76000</v>
      </c>
      <c r="F37" s="3" t="str">
        <f>IFERROR(VLOOKUP(B37,Datos!$B$5:$E$28,2,FALSE)," ")</f>
        <v>Adam</v>
      </c>
      <c r="G37" s="3" t="str">
        <f>IFERROR(VLOOKUP(B37,Datos!$B$5:$I$28,3,FALSE), " ")</f>
        <v>Lopez</v>
      </c>
      <c r="H37" s="3" t="str">
        <f>IFERROR(VLOOKUP(B37,Datos!$B$5:$I$28,4,FALSE), " ")</f>
        <v>Auxiliar</v>
      </c>
    </row>
    <row r="38" spans="2:8" x14ac:dyDescent="0.25">
      <c r="B38">
        <v>3</v>
      </c>
      <c r="C38" s="27">
        <v>25</v>
      </c>
      <c r="D38" s="21">
        <v>75000</v>
      </c>
      <c r="F38" s="3" t="str">
        <f>IFERROR(VLOOKUP(B38,Datos!$B$5:$E$28,2,FALSE)," ")</f>
        <v>Pedro</v>
      </c>
      <c r="G38" s="3" t="str">
        <f>IFERROR(VLOOKUP(B38,Datos!$B$5:$I$28,3,FALSE), " ")</f>
        <v>Sanchez</v>
      </c>
      <c r="H38" s="3" t="str">
        <f>IFERROR(VLOOKUP(B38,Datos!$B$5:$I$28,4,FALSE), " ")</f>
        <v>Ingeniero</v>
      </c>
    </row>
    <row r="39" spans="2:8" x14ac:dyDescent="0.25">
      <c r="B39">
        <v>11</v>
      </c>
      <c r="C39" s="27">
        <v>10</v>
      </c>
      <c r="D39" s="21">
        <v>70000</v>
      </c>
      <c r="F39" s="3" t="str">
        <f>IFERROR(VLOOKUP(B39,Datos!$B$5:$E$28,2,FALSE)," ")</f>
        <v>Andrea</v>
      </c>
      <c r="G39" s="3" t="str">
        <f>IFERROR(VLOOKUP(B39,Datos!$B$5:$I$28,3,FALSE), " ")</f>
        <v>Plata</v>
      </c>
      <c r="H39" s="3" t="str">
        <f>IFERROR(VLOOKUP(B39,Datos!$B$5:$I$28,4,FALSE), " ")</f>
        <v>Docente</v>
      </c>
    </row>
    <row r="40" spans="2:8" x14ac:dyDescent="0.25">
      <c r="B40">
        <v>1</v>
      </c>
      <c r="C40" s="27">
        <v>34</v>
      </c>
      <c r="D40" s="21">
        <v>68000</v>
      </c>
      <c r="F40" s="3" t="str">
        <f>IFERROR(VLOOKUP(B40,Datos!$B$5:$E$28,2,FALSE)," ")</f>
        <v>Luis</v>
      </c>
      <c r="G40" s="3" t="str">
        <f>IFERROR(VLOOKUP(B40,Datos!$B$5:$I$28,3,FALSE), " ")</f>
        <v>Apaez</v>
      </c>
      <c r="H40" s="3" t="str">
        <f>IFERROR(VLOOKUP(B40,Datos!$B$5:$I$28,4,FALSE), " ")</f>
        <v>Ingeniero</v>
      </c>
    </row>
    <row r="41" spans="2:8" x14ac:dyDescent="0.25">
      <c r="B41">
        <v>14</v>
      </c>
      <c r="C41" s="27">
        <v>27</v>
      </c>
      <c r="D41" s="21">
        <v>67500</v>
      </c>
      <c r="F41" s="3" t="str">
        <f>IFERROR(VLOOKUP(B41,Datos!$B$5:$E$28,2,FALSE)," ")</f>
        <v>Judith</v>
      </c>
      <c r="G41" s="3" t="str">
        <f>IFERROR(VLOOKUP(B41,Datos!$B$5:$I$28,3,FALSE), " ")</f>
        <v>Peña</v>
      </c>
      <c r="H41" s="3" t="str">
        <f>IFERROR(VLOOKUP(B41,Datos!$B$5:$I$28,4,FALSE), " ")</f>
        <v>Secretaria</v>
      </c>
    </row>
    <row r="42" spans="2:8" x14ac:dyDescent="0.25">
      <c r="B42">
        <v>18</v>
      </c>
      <c r="C42" s="27">
        <v>12</v>
      </c>
      <c r="D42" s="21">
        <v>54000</v>
      </c>
      <c r="F42" s="3" t="str">
        <f>IFERROR(VLOOKUP(B42,Datos!$B$5:$E$28,2,FALSE)," ")</f>
        <v>Max</v>
      </c>
      <c r="G42" s="3" t="str">
        <f>IFERROR(VLOOKUP(B42,Datos!$B$5:$I$28,3,FALSE), " ")</f>
        <v>Perez</v>
      </c>
      <c r="H42" s="3" t="str">
        <f>IFERROR(VLOOKUP(B42,Datos!$B$5:$I$28,4,FALSE), " ")</f>
        <v>Ingeniero</v>
      </c>
    </row>
    <row r="43" spans="2:8" x14ac:dyDescent="0.25">
      <c r="B43">
        <v>15</v>
      </c>
      <c r="C43" s="27">
        <v>6</v>
      </c>
      <c r="D43" s="21">
        <v>18000</v>
      </c>
      <c r="F43" s="3" t="str">
        <f>IFERROR(VLOOKUP(B43,Datos!$B$5:$E$28,2,FALSE)," ")</f>
        <v>Javier</v>
      </c>
      <c r="G43" s="3" t="str">
        <f>IFERROR(VLOOKUP(B43,Datos!$B$5:$I$28,3,FALSE), " ")</f>
        <v>Sanchez</v>
      </c>
      <c r="H43" s="3" t="str">
        <f>IFERROR(VLOOKUP(B43,Datos!$B$5:$I$28,4,FALSE), " ")</f>
        <v>Ingeniero</v>
      </c>
    </row>
    <row r="44" spans="2:8" x14ac:dyDescent="0.25">
      <c r="B44">
        <v>24</v>
      </c>
      <c r="C44" s="27">
        <v>2</v>
      </c>
      <c r="D44" s="21">
        <v>15000</v>
      </c>
      <c r="F44" s="3" t="str">
        <f>IFERROR(VLOOKUP(B44,Datos!$B$5:$E$28,2,FALSE)," ")</f>
        <v>José</v>
      </c>
      <c r="G44" s="3" t="str">
        <f>IFERROR(VLOOKUP(B44,Datos!$B$5:$I$28,3,FALSE), " ")</f>
        <v>Smith</v>
      </c>
      <c r="H44" s="3" t="str">
        <f>IFERROR(VLOOKUP(B44,Datos!$B$5:$I$28,4,FALSE), " ")</f>
        <v>Ingeniero</v>
      </c>
    </row>
    <row r="45" spans="2:8" x14ac:dyDescent="0.25">
      <c r="B45">
        <v>6</v>
      </c>
      <c r="C45" s="27">
        <v>3</v>
      </c>
      <c r="D45" s="21">
        <v>13500</v>
      </c>
      <c r="F45" s="3" t="str">
        <f>IFERROR(VLOOKUP(B45,Datos!$B$5:$E$28,2,FALSE)," ")</f>
        <v>Kendral</v>
      </c>
      <c r="G45" s="3" t="str">
        <f>IFERROR(VLOOKUP(B45,Datos!$B$5:$I$28,3,FALSE), " ")</f>
        <v>Perez</v>
      </c>
      <c r="H45" s="3" t="str">
        <f>IFERROR(VLOOKUP(B45,Datos!$B$5:$I$28,4,FALSE), " ")</f>
        <v>Ingeniero</v>
      </c>
    </row>
    <row r="46" spans="2:8" x14ac:dyDescent="0.25">
      <c r="B46" t="s">
        <v>44</v>
      </c>
      <c r="C46" s="27">
        <v>625</v>
      </c>
      <c r="D46" s="21">
        <v>2805500</v>
      </c>
      <c r="F46" s="3" t="str">
        <f>IFERROR(VLOOKUP(B46,Datos!$B$5:$E$28,2,FALSE)," ")</f>
        <v xml:space="preserve"> </v>
      </c>
      <c r="G46" s="3" t="str">
        <f>IFERROR(VLOOKUP(B46,Datos!$B$5:$I$28,3,FALSE), " ")</f>
        <v xml:space="preserve"> </v>
      </c>
      <c r="H46" s="3" t="str">
        <f>IFERROR(VLOOKUP(B46,Datos!$B$5:$I$28,4,FALSE), " ")</f>
        <v xml:space="preserve"> </v>
      </c>
    </row>
  </sheetData>
  <mergeCells count="4">
    <mergeCell ref="B1:C1"/>
    <mergeCell ref="B9:C9"/>
    <mergeCell ref="B20:H20"/>
    <mergeCell ref="B18:C18"/>
  </mergeCell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Presentación</vt:lpstr>
      <vt:lpstr>Ejercicio</vt:lpstr>
      <vt:lpstr>Datos</vt:lpstr>
      <vt:lpstr>Solución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2023-03-17T21:17:35Z</dcterms:created>
  <dcterms:modified xsi:type="dcterms:W3CDTF">2023-03-22T02:02:27Z</dcterms:modified>
</cp:coreProperties>
</file>